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thao.bui.int/Downloads/"/>
    </mc:Choice>
  </mc:AlternateContent>
  <xr:revisionPtr revIDLastSave="0" documentId="13_ncr:1_{EA66B749-F413-1648-ADD0-1896C59B14D4}" xr6:coauthVersionLast="47" xr6:coauthVersionMax="47" xr10:uidLastSave="{00000000-0000-0000-0000-000000000000}"/>
  <bookViews>
    <workbookView xWindow="0" yWindow="500" windowWidth="51200" windowHeight="28300" xr2:uid="{4D1F633E-6720-4BE9-A819-0B1586488E16}"/>
  </bookViews>
  <sheets>
    <sheet name="Cài đặt" sheetId="7" r:id="rId1"/>
    <sheet name="Sử dụng" sheetId="5" r:id="rId2"/>
  </sheets>
  <definedNames>
    <definedName name="_Fill" hidden="1">#REF!</definedName>
    <definedName name="H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H3" i="5"/>
  <c r="F5" i="7"/>
  <c r="Q5" i="7" s="1"/>
  <c r="F4" i="7"/>
  <c r="Q4" i="7" s="1"/>
  <c r="Q3" i="7"/>
  <c r="K3" i="5"/>
  <c r="Y3" i="5"/>
  <c r="Z3" i="5" s="1"/>
  <c r="W3" i="5"/>
  <c r="I5" i="5" l="1"/>
  <c r="Y5" i="5" s="1"/>
  <c r="H5" i="5"/>
  <c r="I4" i="5"/>
  <c r="Y4" i="5" s="1"/>
  <c r="H4" i="5"/>
  <c r="H6" i="5" s="1"/>
  <c r="T3" i="5"/>
  <c r="W4" i="5" l="1"/>
  <c r="K4" i="5"/>
  <c r="Z4" i="5"/>
  <c r="W5" i="5"/>
  <c r="N5" i="5"/>
  <c r="Z5" i="5"/>
  <c r="Q4" i="5"/>
  <c r="T4" i="5"/>
  <c r="T6" i="5" s="1"/>
  <c r="Q5" i="5"/>
  <c r="T5" i="5"/>
  <c r="N3" i="5"/>
  <c r="Q3" i="5"/>
  <c r="Q6" i="5" s="1"/>
  <c r="N4" i="5"/>
  <c r="K5" i="5"/>
  <c r="Z6" i="5" l="1"/>
  <c r="K6" i="5"/>
  <c r="N6" i="5"/>
  <c r="W6" i="5"/>
</calcChain>
</file>

<file path=xl/sharedStrings.xml><?xml version="1.0" encoding="utf-8"?>
<sst xmlns="http://schemas.openxmlformats.org/spreadsheetml/2006/main" count="127" uniqueCount="47">
  <si>
    <t>Bảo hiểm</t>
  </si>
  <si>
    <t>Loại hình</t>
  </si>
  <si>
    <t>Đơn vị tính</t>
  </si>
  <si>
    <t>Tỉ lệ</t>
  </si>
  <si>
    <t>Calo còn lại</t>
  </si>
  <si>
    <t>Mã số</t>
  </si>
  <si>
    <t>Calo sử dụng</t>
  </si>
  <si>
    <t>Nơi lấy mẫu</t>
  </si>
  <si>
    <t>Thực phẩm</t>
  </si>
  <si>
    <t>Giá trị</t>
  </si>
  <si>
    <t>Số lượng</t>
  </si>
  <si>
    <t>HH 1.1.</t>
  </si>
  <si>
    <t>HH 2.1.</t>
  </si>
  <si>
    <t>HH 2.3</t>
  </si>
  <si>
    <t>Nơi xuất</t>
  </si>
  <si>
    <t>K01</t>
  </si>
  <si>
    <t>K02</t>
  </si>
  <si>
    <t>K03</t>
  </si>
  <si>
    <t>TP1</t>
  </si>
  <si>
    <t>TP2</t>
  </si>
  <si>
    <t>TP3</t>
  </si>
  <si>
    <t>Chợ rẫy</t>
  </si>
  <si>
    <t>YD1</t>
  </si>
  <si>
    <t>An bình</t>
  </si>
  <si>
    <t>Chai</t>
  </si>
  <si>
    <t>Gram</t>
  </si>
  <si>
    <t>Xuất 1</t>
  </si>
  <si>
    <t>Xuất 3</t>
  </si>
  <si>
    <t>Calo</t>
  </si>
  <si>
    <t>Tổng Calo</t>
  </si>
  <si>
    <t>Bệnh nhân</t>
  </si>
  <si>
    <t>HH 2.2.</t>
  </si>
  <si>
    <t>HH 3.1</t>
  </si>
  <si>
    <t>Ngày áp dụng</t>
  </si>
  <si>
    <t>Còn sử dụng</t>
  </si>
  <si>
    <t>□</t>
  </si>
  <si>
    <t>BN1</t>
  </si>
  <si>
    <t>BN2</t>
  </si>
  <si>
    <t>BN3</t>
  </si>
  <si>
    <t>Ngày tháng</t>
  </si>
  <si>
    <t xml:space="preserve"> import file Excel gồm</t>
  </si>
  <si>
    <t>Có lưới Review lại Dữ liệu file Excel</t>
  </si>
  <si>
    <t>Bấm Nút Tính</t>
  </si>
  <si>
    <t>Hiện kết quả như bảng trên cùng</t>
  </si>
  <si>
    <t>Khi sử dụng</t>
  </si>
  <si>
    <t>Chọn: tháng, năm</t>
  </si>
  <si>
    <t>Các lưới đều sử dụng có thế Filter,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</si>
</sst>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_(* #,##0.0000_);_(* \(#,##0.0000\);_(* &quot;-&quot;??_);_(@_)"/>
    <numFmt numFmtId="167" formatCode="0.0%"/>
    <numFmt numFmtId="168" formatCode="_(* #,##0.0_);_(* \(#,##0.0\);_(* &quot;-&quot;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name val="Aptos Display"/>
      <family val="1"/>
      <scheme val="major"/>
    </font>
    <font>
      <sz val="9"/>
      <name val="Aptos Display"/>
      <family val="1"/>
      <scheme val="major"/>
    </font>
    <font>
      <sz val="9"/>
      <color indexed="8"/>
      <name val="Aptos Display"/>
      <family val="1"/>
      <scheme val="major"/>
    </font>
    <font>
      <sz val="9"/>
      <color indexed="10"/>
      <name val="Aptos Display"/>
      <family val="1"/>
      <scheme val="major"/>
    </font>
    <font>
      <sz val="9"/>
      <color theme="1"/>
      <name val="Aptos Display"/>
      <family val="1"/>
      <scheme val="major"/>
    </font>
    <font>
      <sz val="9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>
      <alignment vertical="top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1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7" fontId="4" fillId="3" borderId="1" xfId="3" applyNumberFormat="1" applyFont="1" applyFill="1" applyBorder="1" applyAlignment="1">
      <alignment horizontal="center" vertical="center"/>
    </xf>
    <xf numFmtId="0" fontId="4" fillId="0" borderId="0" xfId="0" applyFont="1">
      <alignment vertical="top"/>
    </xf>
    <xf numFmtId="0" fontId="4" fillId="0" borderId="0" xfId="0" applyFont="1" applyAlignment="1">
      <alignment horizontal="center" vertical="top"/>
    </xf>
    <xf numFmtId="0" fontId="4" fillId="4" borderId="0" xfId="0" applyFont="1" applyFill="1">
      <alignment vertical="top"/>
    </xf>
    <xf numFmtId="0" fontId="3" fillId="4" borderId="1" xfId="0" applyFont="1" applyFill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top"/>
    </xf>
    <xf numFmtId="166" fontId="5" fillId="4" borderId="1" xfId="1" applyNumberFormat="1" applyFont="1" applyFill="1" applyBorder="1" applyAlignment="1">
      <alignment horizontal="center" vertical="center"/>
    </xf>
    <xf numFmtId="167" fontId="5" fillId="4" borderId="1" xfId="3" applyNumberFormat="1" applyFont="1" applyFill="1" applyBorder="1" applyAlignment="1">
      <alignment horizontal="center" vertical="center"/>
    </xf>
    <xf numFmtId="0" fontId="4" fillId="5" borderId="0" xfId="0" applyFont="1" applyFill="1">
      <alignment vertical="top"/>
    </xf>
    <xf numFmtId="0" fontId="3" fillId="5" borderId="1" xfId="0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7" fontId="5" fillId="5" borderId="1" xfId="3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top"/>
    </xf>
    <xf numFmtId="37" fontId="5" fillId="4" borderId="1" xfId="1" applyNumberFormat="1" applyFont="1" applyFill="1" applyBorder="1" applyAlignment="1">
      <alignment horizontal="center" vertical="center"/>
    </xf>
    <xf numFmtId="37" fontId="5" fillId="5" borderId="1" xfId="1" applyNumberFormat="1" applyFont="1" applyFill="1" applyBorder="1" applyAlignment="1">
      <alignment horizontal="center" vertical="center"/>
    </xf>
    <xf numFmtId="9" fontId="5" fillId="4" borderId="1" xfId="3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top"/>
    </xf>
    <xf numFmtId="165" fontId="5" fillId="3" borderId="1" xfId="1" applyNumberFormat="1" applyFont="1" applyFill="1" applyBorder="1" applyAlignment="1">
      <alignment horizontal="center" vertical="center"/>
    </xf>
    <xf numFmtId="37" fontId="5" fillId="3" borderId="1" xfId="1" applyNumberFormat="1" applyFont="1" applyFill="1" applyBorder="1" applyAlignment="1">
      <alignment horizontal="center" vertical="center"/>
    </xf>
    <xf numFmtId="9" fontId="5" fillId="3" borderId="1" xfId="3" applyFont="1" applyFill="1" applyBorder="1" applyAlignment="1">
      <alignment horizontal="center" vertical="center"/>
    </xf>
    <xf numFmtId="167" fontId="5" fillId="3" borderId="1" xfId="3" applyNumberFormat="1" applyFont="1" applyFill="1" applyBorder="1" applyAlignment="1">
      <alignment horizontal="center" vertical="center"/>
    </xf>
    <xf numFmtId="0" fontId="4" fillId="3" borderId="0" xfId="0" applyFont="1" applyFill="1">
      <alignment vertical="top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4" fillId="0" borderId="1" xfId="0" applyFont="1" applyBorder="1">
      <alignment vertical="top"/>
    </xf>
    <xf numFmtId="0" fontId="8" fillId="0" borderId="1" xfId="0" applyFont="1" applyBorder="1" applyAlignment="1">
      <alignment horizontal="center" vertical="top"/>
    </xf>
    <xf numFmtId="165" fontId="4" fillId="6" borderId="1" xfId="1" applyNumberFormat="1" applyFont="1" applyFill="1" applyBorder="1" applyAlignment="1">
      <alignment horizontal="center" vertical="center"/>
    </xf>
    <xf numFmtId="165" fontId="7" fillId="6" borderId="1" xfId="1" applyNumberFormat="1" applyFont="1" applyFill="1" applyBorder="1" applyAlignment="1">
      <alignment horizontal="center" vertical="center"/>
    </xf>
    <xf numFmtId="0" fontId="4" fillId="6" borderId="0" xfId="0" applyFont="1" applyFill="1">
      <alignment vertical="top"/>
    </xf>
    <xf numFmtId="0" fontId="3" fillId="0" borderId="0" xfId="0" applyFont="1">
      <alignment vertical="top"/>
    </xf>
    <xf numFmtId="0" fontId="3" fillId="0" borderId="0" xfId="0" applyFont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165" fontId="3" fillId="6" borderId="0" xfId="0" applyNumberFormat="1" applyFont="1" applyFill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168" fontId="3" fillId="5" borderId="0" xfId="0" applyNumberFormat="1" applyFont="1" applyFill="1" applyAlignment="1">
      <alignment horizontal="center" vertical="top"/>
    </xf>
    <xf numFmtId="37" fontId="3" fillId="4" borderId="0" xfId="0" applyNumberFormat="1" applyFont="1" applyFill="1" applyAlignment="1">
      <alignment horizontal="center" vertical="top"/>
    </xf>
    <xf numFmtId="37" fontId="3" fillId="5" borderId="0" xfId="0" applyNumberFormat="1" applyFont="1" applyFill="1" applyAlignment="1">
      <alignment horizontal="center" vertical="top"/>
    </xf>
    <xf numFmtId="37" fontId="3" fillId="3" borderId="0" xfId="0" applyNumberFormat="1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</cellXfs>
  <cellStyles count="4">
    <cellStyle name="Comma" xfId="1" builtinId="3"/>
    <cellStyle name="Comma 2" xfId="2" xr:uid="{ECFBDBA2-0D29-4983-A276-53FFD3F1101D}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0FF9-4FA1-4F0A-A6B6-37AAE3E4FEED}">
  <dimension ref="A1:V19"/>
  <sheetViews>
    <sheetView tabSelected="1" zoomScale="130" zoomScaleNormal="130" workbookViewId="0">
      <pane xSplit="6" ySplit="2" topLeftCell="G3" activePane="bottomRight" state="frozen"/>
      <selection pane="topRight" activeCell="I1" sqref="I1"/>
      <selection pane="bottomLeft" activeCell="A2" sqref="A2"/>
      <selection pane="bottomRight" activeCell="A19" sqref="A10:A19"/>
    </sheetView>
  </sheetViews>
  <sheetFormatPr baseColWidth="10" defaultColWidth="8.83203125" defaultRowHeight="11" x14ac:dyDescent="0.15"/>
  <cols>
    <col min="1" max="1" width="5.33203125" style="8" bestFit="1" customWidth="1"/>
    <col min="2" max="2" width="9.33203125" style="8" bestFit="1" customWidth="1"/>
    <col min="3" max="4" width="8.83203125" style="8" bestFit="1" customWidth="1"/>
    <col min="5" max="5" width="6.6640625" style="8" bestFit="1" customWidth="1"/>
    <col min="6" max="6" width="10.33203125" style="25" bestFit="1" customWidth="1"/>
    <col min="7" max="7" width="5.83203125" style="10" bestFit="1" customWidth="1"/>
    <col min="8" max="8" width="8.5" style="10" bestFit="1" customWidth="1"/>
    <col min="9" max="9" width="4.33203125" style="17" bestFit="1" customWidth="1"/>
    <col min="10" max="10" width="8.5" style="17" bestFit="1" customWidth="1"/>
    <col min="11" max="11" width="4.33203125" style="10" bestFit="1" customWidth="1"/>
    <col min="12" max="12" width="8.5" style="10" bestFit="1" customWidth="1"/>
    <col min="13" max="13" width="4.33203125" style="17" bestFit="1" customWidth="1"/>
    <col min="14" max="14" width="8.5" style="17" bestFit="1" customWidth="1"/>
    <col min="15" max="15" width="5.83203125" style="10" bestFit="1" customWidth="1"/>
    <col min="16" max="16" width="8.5" style="10" bestFit="1" customWidth="1"/>
    <col min="17" max="17" width="5.83203125" style="30" bestFit="1" customWidth="1"/>
    <col min="18" max="18" width="7" style="8" bestFit="1" customWidth="1"/>
    <col min="19" max="19" width="7.5" style="8" bestFit="1" customWidth="1"/>
    <col min="20" max="16384" width="8.83203125" style="8"/>
  </cols>
  <sheetData>
    <row r="1" spans="1:22" ht="13.25" customHeight="1" x14ac:dyDescent="0.15">
      <c r="A1" s="50" t="s">
        <v>5</v>
      </c>
      <c r="B1" s="50" t="s">
        <v>7</v>
      </c>
      <c r="C1" s="50" t="s">
        <v>8</v>
      </c>
      <c r="D1" s="50" t="s">
        <v>2</v>
      </c>
      <c r="E1" s="50" t="s">
        <v>9</v>
      </c>
      <c r="F1" s="55" t="s">
        <v>6</v>
      </c>
      <c r="G1" s="54" t="s">
        <v>11</v>
      </c>
      <c r="H1" s="54"/>
      <c r="I1" s="56" t="s">
        <v>12</v>
      </c>
      <c r="J1" s="56"/>
      <c r="K1" s="54" t="s">
        <v>31</v>
      </c>
      <c r="L1" s="54"/>
      <c r="M1" s="56" t="s">
        <v>13</v>
      </c>
      <c r="N1" s="56"/>
      <c r="O1" s="54" t="s">
        <v>32</v>
      </c>
      <c r="P1" s="54"/>
      <c r="Q1" s="55" t="s">
        <v>3</v>
      </c>
      <c r="R1" s="51" t="s">
        <v>14</v>
      </c>
      <c r="S1" s="51" t="s">
        <v>1</v>
      </c>
      <c r="T1" s="51" t="s">
        <v>33</v>
      </c>
      <c r="U1" s="51" t="s">
        <v>34</v>
      </c>
    </row>
    <row r="2" spans="1:22" s="1" customFormat="1" ht="11.5" customHeight="1" x14ac:dyDescent="0.15">
      <c r="A2" s="50"/>
      <c r="B2" s="50"/>
      <c r="C2" s="50"/>
      <c r="D2" s="50"/>
      <c r="E2" s="50"/>
      <c r="F2" s="55"/>
      <c r="G2" s="11" t="s">
        <v>3</v>
      </c>
      <c r="H2" s="11" t="s">
        <v>30</v>
      </c>
      <c r="I2" s="18" t="s">
        <v>3</v>
      </c>
      <c r="J2" s="18" t="s">
        <v>30</v>
      </c>
      <c r="K2" s="11" t="s">
        <v>3</v>
      </c>
      <c r="L2" s="11" t="s">
        <v>30</v>
      </c>
      <c r="M2" s="18" t="s">
        <v>3</v>
      </c>
      <c r="N2" s="18" t="s">
        <v>30</v>
      </c>
      <c r="O2" s="11" t="s">
        <v>3</v>
      </c>
      <c r="P2" s="11" t="s">
        <v>30</v>
      </c>
      <c r="Q2" s="55"/>
      <c r="R2" s="51"/>
      <c r="S2" s="51"/>
      <c r="T2" s="51"/>
      <c r="U2" s="51"/>
      <c r="V2" s="35"/>
    </row>
    <row r="3" spans="1:22" ht="13" x14ac:dyDescent="0.15">
      <c r="A3" s="2" t="s">
        <v>15</v>
      </c>
      <c r="B3" s="3" t="s">
        <v>21</v>
      </c>
      <c r="C3" s="3" t="s">
        <v>18</v>
      </c>
      <c r="D3" s="3" t="s">
        <v>24</v>
      </c>
      <c r="E3" s="4">
        <v>17500</v>
      </c>
      <c r="F3" s="6">
        <v>7200</v>
      </c>
      <c r="G3" s="12">
        <v>1000</v>
      </c>
      <c r="H3" s="12" t="s">
        <v>36</v>
      </c>
      <c r="I3" s="19"/>
      <c r="J3" s="19"/>
      <c r="K3" s="15"/>
      <c r="L3" s="15"/>
      <c r="M3" s="19"/>
      <c r="N3" s="19"/>
      <c r="O3" s="12">
        <v>4000</v>
      </c>
      <c r="P3" s="15" t="s">
        <v>36</v>
      </c>
      <c r="Q3" s="26">
        <f>F3-G3-I3-K3-M3-O3</f>
        <v>2200</v>
      </c>
      <c r="R3" s="31" t="s">
        <v>26</v>
      </c>
      <c r="S3" s="32" t="s">
        <v>0</v>
      </c>
      <c r="T3" s="36"/>
      <c r="U3" s="37" t="s">
        <v>35</v>
      </c>
    </row>
    <row r="4" spans="1:22" ht="13" x14ac:dyDescent="0.15">
      <c r="A4" s="2" t="s">
        <v>16</v>
      </c>
      <c r="B4" s="3" t="s">
        <v>22</v>
      </c>
      <c r="C4" s="3" t="s">
        <v>19</v>
      </c>
      <c r="D4" s="3" t="s">
        <v>25</v>
      </c>
      <c r="E4" s="5">
        <v>4070</v>
      </c>
      <c r="F4" s="7">
        <f>100%-3200/E4</f>
        <v>0.21375921375921381</v>
      </c>
      <c r="G4" s="24"/>
      <c r="H4" s="13"/>
      <c r="I4" s="19"/>
      <c r="J4" s="19"/>
      <c r="K4" s="15"/>
      <c r="L4" s="15"/>
      <c r="M4" s="19"/>
      <c r="N4" s="19"/>
      <c r="O4" s="24">
        <v>0.15</v>
      </c>
      <c r="P4" s="15" t="s">
        <v>37</v>
      </c>
      <c r="Q4" s="28">
        <f>F4-G4-I4-K4-M4-O4</f>
        <v>6.3759213759213812E-2</v>
      </c>
      <c r="R4" s="31" t="s">
        <v>26</v>
      </c>
      <c r="S4" s="32" t="s">
        <v>0</v>
      </c>
      <c r="T4" s="36"/>
      <c r="U4" s="37" t="s">
        <v>35</v>
      </c>
    </row>
    <row r="5" spans="1:22" ht="13" x14ac:dyDescent="0.15">
      <c r="A5" s="2" t="s">
        <v>17</v>
      </c>
      <c r="B5" s="3" t="s">
        <v>23</v>
      </c>
      <c r="C5" s="3" t="s">
        <v>20</v>
      </c>
      <c r="D5" s="3" t="s">
        <v>25</v>
      </c>
      <c r="E5" s="4">
        <v>4100</v>
      </c>
      <c r="F5" s="7">
        <f>(E5-3350)/E5</f>
        <v>0.18292682926829268</v>
      </c>
      <c r="G5" s="24"/>
      <c r="H5" s="13"/>
      <c r="I5" s="20">
        <v>0.02</v>
      </c>
      <c r="J5" s="19" t="s">
        <v>37</v>
      </c>
      <c r="K5" s="16">
        <v>0.02</v>
      </c>
      <c r="L5" s="15" t="s">
        <v>37</v>
      </c>
      <c r="M5" s="20">
        <v>0.02</v>
      </c>
      <c r="N5" s="19" t="s">
        <v>37</v>
      </c>
      <c r="O5" s="16">
        <v>0.1</v>
      </c>
      <c r="P5" s="15" t="s">
        <v>38</v>
      </c>
      <c r="Q5" s="29">
        <f>F5-G5-I5-K5-M5-O5</f>
        <v>2.2926829268292689E-2</v>
      </c>
      <c r="R5" s="31" t="s">
        <v>27</v>
      </c>
      <c r="S5" s="32" t="s">
        <v>0</v>
      </c>
      <c r="T5" s="36"/>
      <c r="U5" s="37" t="s">
        <v>35</v>
      </c>
    </row>
    <row r="6" spans="1:22" s="9" customFormat="1" x14ac:dyDescent="0.15">
      <c r="F6" s="25"/>
      <c r="G6" s="14"/>
      <c r="H6" s="14"/>
      <c r="I6" s="21"/>
      <c r="J6" s="21"/>
      <c r="K6" s="14"/>
      <c r="L6" s="14"/>
      <c r="M6" s="21"/>
      <c r="N6" s="21"/>
      <c r="O6" s="14"/>
      <c r="P6" s="14"/>
      <c r="Q6" s="25"/>
    </row>
    <row r="7" spans="1:22" s="9" customFormat="1" x14ac:dyDescent="0.15">
      <c r="F7" s="25"/>
      <c r="G7" s="14"/>
      <c r="H7" s="14"/>
      <c r="I7" s="21"/>
      <c r="J7" s="21"/>
      <c r="K7" s="14"/>
      <c r="L7" s="14"/>
      <c r="M7" s="21"/>
      <c r="N7" s="21"/>
      <c r="O7" s="14"/>
      <c r="P7" s="14"/>
      <c r="Q7" s="25"/>
    </row>
    <row r="13" spans="1:22" x14ac:dyDescent="0.15">
      <c r="A13" s="41"/>
    </row>
    <row r="14" spans="1:22" x14ac:dyDescent="0.15">
      <c r="A14" s="41"/>
    </row>
    <row r="15" spans="1:22" x14ac:dyDescent="0.15">
      <c r="A15" s="41"/>
    </row>
    <row r="16" spans="1:22" x14ac:dyDescent="0.15">
      <c r="A16" s="41"/>
    </row>
    <row r="17" spans="1:1" x14ac:dyDescent="0.15">
      <c r="A17" s="41"/>
    </row>
    <row r="18" spans="1:1" x14ac:dyDescent="0.15">
      <c r="A18" s="41"/>
    </row>
    <row r="19" spans="1:1" x14ac:dyDescent="0.15">
      <c r="A19" s="41"/>
    </row>
  </sheetData>
  <mergeCells count="16">
    <mergeCell ref="U1:U2"/>
    <mergeCell ref="O1:P1"/>
    <mergeCell ref="Q1:Q2"/>
    <mergeCell ref="R1:R2"/>
    <mergeCell ref="S1:S2"/>
    <mergeCell ref="T1:T2"/>
    <mergeCell ref="F1:F2"/>
    <mergeCell ref="G1:H1"/>
    <mergeCell ref="I1:J1"/>
    <mergeCell ref="K1:L1"/>
    <mergeCell ref="M1:N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432B-9292-4351-9466-F4CAA9AA985F}">
  <dimension ref="A1:AC21"/>
  <sheetViews>
    <sheetView zoomScale="130" zoomScaleNormal="130" workbookViewId="0">
      <pane xSplit="9" ySplit="2" topLeftCell="J3" activePane="bottomRight" state="frozen"/>
      <selection pane="topRight" activeCell="I1" sqref="I1"/>
      <selection pane="bottomLeft" activeCell="A2" sqref="A2"/>
      <selection pane="bottomRight" activeCell="F21" sqref="F21"/>
    </sheetView>
  </sheetViews>
  <sheetFormatPr baseColWidth="10" defaultColWidth="8.83203125" defaultRowHeight="11" x14ac:dyDescent="0.15"/>
  <cols>
    <col min="1" max="1" width="5.33203125" style="8" bestFit="1" customWidth="1"/>
    <col min="2" max="2" width="9.33203125" style="8" bestFit="1" customWidth="1"/>
    <col min="3" max="4" width="8.83203125" style="8" bestFit="1" customWidth="1"/>
    <col min="5" max="5" width="6.6640625" style="8" bestFit="1" customWidth="1"/>
    <col min="6" max="6" width="9" style="40" bestFit="1" customWidth="1"/>
    <col min="7" max="7" width="7.1640625" style="40" bestFit="1" customWidth="1"/>
    <col min="8" max="8" width="8.33203125" style="40" bestFit="1" customWidth="1"/>
    <col min="9" max="9" width="10.33203125" style="25" bestFit="1" customWidth="1"/>
    <col min="10" max="10" width="5.83203125" style="10" bestFit="1" customWidth="1"/>
    <col min="11" max="11" width="6.1640625" style="10" bestFit="1" customWidth="1"/>
    <col min="12" max="12" width="8.5" style="10" bestFit="1" customWidth="1"/>
    <col min="13" max="13" width="4.33203125" style="17" bestFit="1" customWidth="1"/>
    <col min="14" max="14" width="5.83203125" style="17" bestFit="1" customWidth="1"/>
    <col min="15" max="15" width="8.5" style="17" bestFit="1" customWidth="1"/>
    <col min="16" max="16" width="4.33203125" style="10" bestFit="1" customWidth="1"/>
    <col min="17" max="17" width="4.1640625" style="10" bestFit="1" customWidth="1"/>
    <col min="18" max="18" width="8.5" style="10" bestFit="1" customWidth="1"/>
    <col min="19" max="19" width="4.33203125" style="17" bestFit="1" customWidth="1"/>
    <col min="20" max="20" width="4.1640625" style="17" bestFit="1" customWidth="1"/>
    <col min="21" max="21" width="8.5" style="17" bestFit="1" customWidth="1"/>
    <col min="22" max="22" width="5.83203125" style="10" bestFit="1" customWidth="1"/>
    <col min="23" max="23" width="7.1640625" style="10" bestFit="1" customWidth="1"/>
    <col min="24" max="24" width="8.5" style="10" bestFit="1" customWidth="1"/>
    <col min="25" max="25" width="5.83203125" style="30" bestFit="1" customWidth="1"/>
    <col min="26" max="26" width="9.1640625" style="30" bestFit="1" customWidth="1"/>
    <col min="27" max="27" width="7" style="8" bestFit="1" customWidth="1"/>
    <col min="28" max="28" width="7.5" style="8" bestFit="1" customWidth="1"/>
    <col min="29" max="16384" width="8.83203125" style="8"/>
  </cols>
  <sheetData>
    <row r="1" spans="1:29" ht="13.25" customHeight="1" x14ac:dyDescent="0.15">
      <c r="A1" s="50" t="s">
        <v>5</v>
      </c>
      <c r="B1" s="50" t="s">
        <v>7</v>
      </c>
      <c r="C1" s="50" t="s">
        <v>8</v>
      </c>
      <c r="D1" s="50" t="s">
        <v>2</v>
      </c>
      <c r="E1" s="50" t="s">
        <v>9</v>
      </c>
      <c r="F1" s="52" t="s">
        <v>39</v>
      </c>
      <c r="G1" s="57" t="s">
        <v>10</v>
      </c>
      <c r="H1" s="57" t="s">
        <v>29</v>
      </c>
      <c r="I1" s="55" t="s">
        <v>6</v>
      </c>
      <c r="J1" s="54" t="s">
        <v>11</v>
      </c>
      <c r="K1" s="54"/>
      <c r="L1" s="54"/>
      <c r="M1" s="56" t="s">
        <v>12</v>
      </c>
      <c r="N1" s="56"/>
      <c r="O1" s="56"/>
      <c r="P1" s="54" t="s">
        <v>31</v>
      </c>
      <c r="Q1" s="54"/>
      <c r="R1" s="54"/>
      <c r="S1" s="56" t="s">
        <v>13</v>
      </c>
      <c r="T1" s="56"/>
      <c r="U1" s="56"/>
      <c r="V1" s="54" t="s">
        <v>32</v>
      </c>
      <c r="W1" s="54"/>
      <c r="X1" s="54"/>
      <c r="Y1" s="55" t="s">
        <v>3</v>
      </c>
      <c r="Z1" s="55" t="s">
        <v>4</v>
      </c>
      <c r="AA1" s="51" t="s">
        <v>14</v>
      </c>
      <c r="AB1" s="51" t="s">
        <v>1</v>
      </c>
    </row>
    <row r="2" spans="1:29" s="1" customFormat="1" x14ac:dyDescent="0.15">
      <c r="A2" s="50"/>
      <c r="B2" s="50"/>
      <c r="C2" s="50"/>
      <c r="D2" s="50"/>
      <c r="E2" s="50"/>
      <c r="F2" s="53"/>
      <c r="G2" s="57"/>
      <c r="H2" s="57"/>
      <c r="I2" s="55"/>
      <c r="J2" s="11" t="s">
        <v>3</v>
      </c>
      <c r="K2" s="11" t="s">
        <v>28</v>
      </c>
      <c r="L2" s="11" t="s">
        <v>30</v>
      </c>
      <c r="M2" s="18" t="s">
        <v>3</v>
      </c>
      <c r="N2" s="18" t="s">
        <v>28</v>
      </c>
      <c r="O2" s="18" t="s">
        <v>30</v>
      </c>
      <c r="P2" s="11" t="s">
        <v>3</v>
      </c>
      <c r="Q2" s="11" t="s">
        <v>28</v>
      </c>
      <c r="R2" s="11" t="s">
        <v>30</v>
      </c>
      <c r="S2" s="18" t="s">
        <v>3</v>
      </c>
      <c r="T2" s="18" t="s">
        <v>28</v>
      </c>
      <c r="U2" s="18" t="s">
        <v>30</v>
      </c>
      <c r="V2" s="11" t="s">
        <v>3</v>
      </c>
      <c r="W2" s="11" t="s">
        <v>28</v>
      </c>
      <c r="X2" s="11" t="s">
        <v>30</v>
      </c>
      <c r="Y2" s="55"/>
      <c r="Z2" s="55"/>
      <c r="AA2" s="51"/>
      <c r="AB2" s="51"/>
      <c r="AC2" s="35"/>
    </row>
    <row r="3" spans="1:29" x14ac:dyDescent="0.15">
      <c r="A3" s="2" t="s">
        <v>15</v>
      </c>
      <c r="B3" s="3" t="s">
        <v>21</v>
      </c>
      <c r="C3" s="3" t="s">
        <v>18</v>
      </c>
      <c r="D3" s="3" t="s">
        <v>24</v>
      </c>
      <c r="E3" s="4">
        <v>17500</v>
      </c>
      <c r="F3" s="38"/>
      <c r="G3" s="38">
        <v>10</v>
      </c>
      <c r="H3" s="38">
        <f>G3*E3</f>
        <v>175000</v>
      </c>
      <c r="I3" s="6">
        <v>7200</v>
      </c>
      <c r="J3" s="12">
        <v>1000</v>
      </c>
      <c r="K3" s="22">
        <f>IF(J3&lt;1,J3*$H3,J3*$G3)</f>
        <v>10000</v>
      </c>
      <c r="L3" s="12" t="s">
        <v>36</v>
      </c>
      <c r="M3" s="19"/>
      <c r="N3" s="23">
        <f>IF(M3&lt;1,M3*$H3,M3*$G3)</f>
        <v>0</v>
      </c>
      <c r="O3" s="19"/>
      <c r="P3" s="15"/>
      <c r="Q3" s="22">
        <f>IF(P3&lt;1,P3*$H3,P3*$G3)</f>
        <v>0</v>
      </c>
      <c r="R3" s="15"/>
      <c r="S3" s="19"/>
      <c r="T3" s="23">
        <f>IF(S3&lt;1,S3*$H3,S3*$G3)</f>
        <v>0</v>
      </c>
      <c r="U3" s="19"/>
      <c r="V3" s="12">
        <v>4000</v>
      </c>
      <c r="W3" s="22">
        <f>IF(V3&lt;1,V3*$H3,V3*$G3)</f>
        <v>40000</v>
      </c>
      <c r="X3" s="15" t="s">
        <v>36</v>
      </c>
      <c r="Y3" s="26">
        <f>I3-J3-M3-P3-S3-V3</f>
        <v>2200</v>
      </c>
      <c r="Z3" s="27">
        <f>IF(Y3&lt;1,Y3*$H3,Y3*$G3)</f>
        <v>22000</v>
      </c>
      <c r="AA3" s="31" t="s">
        <v>26</v>
      </c>
      <c r="AB3" s="32" t="s">
        <v>0</v>
      </c>
    </row>
    <row r="4" spans="1:29" x14ac:dyDescent="0.15">
      <c r="A4" s="2" t="s">
        <v>16</v>
      </c>
      <c r="B4" s="3" t="s">
        <v>22</v>
      </c>
      <c r="C4" s="3" t="s">
        <v>19</v>
      </c>
      <c r="D4" s="3" t="s">
        <v>25</v>
      </c>
      <c r="E4" s="5">
        <v>4070</v>
      </c>
      <c r="F4" s="39"/>
      <c r="G4" s="38">
        <v>100</v>
      </c>
      <c r="H4" s="38">
        <f t="shared" ref="H4:H5" si="0">G4*E4</f>
        <v>407000</v>
      </c>
      <c r="I4" s="7">
        <f>100%-3200/E4</f>
        <v>0.21375921375921381</v>
      </c>
      <c r="J4" s="24"/>
      <c r="K4" s="22">
        <f>IF(J4&lt;1,J4*$H4,J4*$G4)</f>
        <v>0</v>
      </c>
      <c r="L4" s="13"/>
      <c r="M4" s="19"/>
      <c r="N4" s="23">
        <f>IF(M4&lt;1,M4*$H4,M4*$G4)</f>
        <v>0</v>
      </c>
      <c r="O4" s="19"/>
      <c r="P4" s="15"/>
      <c r="Q4" s="22">
        <f>IF(P4&lt;1,P4*$H4,P4*$G4)</f>
        <v>0</v>
      </c>
      <c r="R4" s="15"/>
      <c r="S4" s="19"/>
      <c r="T4" s="23">
        <f>IF(S4&lt;1,S4*$H4,S4*$G4)</f>
        <v>0</v>
      </c>
      <c r="U4" s="19"/>
      <c r="V4" s="24">
        <v>0.15</v>
      </c>
      <c r="W4" s="22">
        <f>IF(V4&lt;1,V4*$H4,V4*$G4)</f>
        <v>61050</v>
      </c>
      <c r="X4" s="15" t="s">
        <v>37</v>
      </c>
      <c r="Y4" s="28">
        <f t="shared" ref="Y4:Y5" si="1">I4-J4-M4-P4-S4-V4</f>
        <v>6.3759213759213812E-2</v>
      </c>
      <c r="Z4" s="27">
        <f>IF(Y4&lt;1,Y4*$H4,Y4*$G4)</f>
        <v>25950.000000000022</v>
      </c>
      <c r="AA4" s="31" t="s">
        <v>26</v>
      </c>
      <c r="AB4" s="32" t="s">
        <v>0</v>
      </c>
    </row>
    <row r="5" spans="1:29" x14ac:dyDescent="0.15">
      <c r="A5" s="2" t="s">
        <v>17</v>
      </c>
      <c r="B5" s="3" t="s">
        <v>23</v>
      </c>
      <c r="C5" s="3" t="s">
        <v>20</v>
      </c>
      <c r="D5" s="3" t="s">
        <v>25</v>
      </c>
      <c r="E5" s="4">
        <v>4100</v>
      </c>
      <c r="F5" s="38"/>
      <c r="G5" s="38">
        <v>10</v>
      </c>
      <c r="H5" s="38">
        <f t="shared" si="0"/>
        <v>41000</v>
      </c>
      <c r="I5" s="7">
        <f>(E5-3350)/E5</f>
        <v>0.18292682926829268</v>
      </c>
      <c r="J5" s="24"/>
      <c r="K5" s="22">
        <f>IF(J5&lt;1,J5*$H5,J5*$G5)</f>
        <v>0</v>
      </c>
      <c r="L5" s="13"/>
      <c r="M5" s="20">
        <v>0.02</v>
      </c>
      <c r="N5" s="23">
        <f>IF(M5&lt;1,M5*$H5,M5*$G5)</f>
        <v>820</v>
      </c>
      <c r="O5" s="19" t="s">
        <v>37</v>
      </c>
      <c r="P5" s="16">
        <v>0.02</v>
      </c>
      <c r="Q5" s="22">
        <f>IF(P5&lt;1,P5*$H5,P5*$G5)</f>
        <v>820</v>
      </c>
      <c r="R5" s="15" t="s">
        <v>37</v>
      </c>
      <c r="S5" s="20">
        <v>0.02</v>
      </c>
      <c r="T5" s="23">
        <f>IF(S5&lt;1,S5*$H5,S5*$G5)</f>
        <v>820</v>
      </c>
      <c r="U5" s="19" t="s">
        <v>37</v>
      </c>
      <c r="V5" s="16">
        <v>0.1</v>
      </c>
      <c r="W5" s="22">
        <f>IF(V5&lt;1,V5*$H5,V5*$G5)</f>
        <v>4100</v>
      </c>
      <c r="X5" s="15" t="s">
        <v>38</v>
      </c>
      <c r="Y5" s="29">
        <f t="shared" si="1"/>
        <v>2.2926829268292689E-2</v>
      </c>
      <c r="Z5" s="27">
        <f>IF(Y5&lt;1,Y5*$H5,Y5*$G5)</f>
        <v>940.00000000000023</v>
      </c>
      <c r="AA5" s="31" t="s">
        <v>27</v>
      </c>
      <c r="AB5" s="32" t="s">
        <v>0</v>
      </c>
    </row>
    <row r="6" spans="1:29" s="42" customFormat="1" x14ac:dyDescent="0.15">
      <c r="F6" s="43"/>
      <c r="G6" s="44">
        <f>SUM(G3:G5)</f>
        <v>120</v>
      </c>
      <c r="H6" s="44">
        <f>SUM(H3:H5)</f>
        <v>623000</v>
      </c>
      <c r="I6" s="45"/>
      <c r="J6" s="33"/>
      <c r="K6" s="47">
        <f>SUM(K3:K5)</f>
        <v>10000</v>
      </c>
      <c r="L6" s="33"/>
      <c r="M6" s="34"/>
      <c r="N6" s="46">
        <f>SUM(N3:N5)</f>
        <v>820</v>
      </c>
      <c r="O6" s="34"/>
      <c r="P6" s="33"/>
      <c r="Q6" s="47">
        <f>SUM(Q3:Q5)</f>
        <v>820</v>
      </c>
      <c r="R6" s="33"/>
      <c r="S6" s="34"/>
      <c r="T6" s="48">
        <f>SUM(T3:T5)</f>
        <v>820</v>
      </c>
      <c r="U6" s="34"/>
      <c r="V6" s="33"/>
      <c r="W6" s="47">
        <f>SUM(W3:W5)</f>
        <v>105150</v>
      </c>
      <c r="X6" s="33"/>
      <c r="Y6" s="45"/>
      <c r="Z6" s="49">
        <f>SUM(Z3:Z5)</f>
        <v>48890.000000000022</v>
      </c>
    </row>
    <row r="9" spans="1:29" x14ac:dyDescent="0.15">
      <c r="A9" s="41" t="s">
        <v>44</v>
      </c>
    </row>
    <row r="11" spans="1:29" x14ac:dyDescent="0.15">
      <c r="A11" s="8" t="s">
        <v>45</v>
      </c>
    </row>
    <row r="13" spans="1:29" x14ac:dyDescent="0.15">
      <c r="A13" s="8" t="s">
        <v>40</v>
      </c>
    </row>
    <row r="14" spans="1:29" s="9" customFormat="1" x14ac:dyDescent="0.15">
      <c r="A14" s="50" t="s">
        <v>5</v>
      </c>
      <c r="B14" s="50" t="s">
        <v>7</v>
      </c>
      <c r="C14" s="50" t="s">
        <v>8</v>
      </c>
      <c r="D14" s="50" t="s">
        <v>2</v>
      </c>
      <c r="E14" s="50" t="s">
        <v>9</v>
      </c>
      <c r="F14" s="52" t="s">
        <v>39</v>
      </c>
      <c r="G14" s="57" t="s">
        <v>10</v>
      </c>
      <c r="H14" s="57" t="s">
        <v>29</v>
      </c>
      <c r="I14" s="25"/>
      <c r="J14" s="14"/>
      <c r="K14" s="14"/>
      <c r="L14" s="14"/>
      <c r="M14" s="21"/>
      <c r="N14" s="21"/>
      <c r="O14" s="21"/>
      <c r="P14" s="14"/>
      <c r="Q14" s="14"/>
      <c r="R14" s="14"/>
      <c r="S14" s="21"/>
      <c r="T14" s="21"/>
      <c r="U14" s="21"/>
      <c r="V14" s="14"/>
      <c r="W14" s="14"/>
      <c r="X14" s="14"/>
      <c r="Y14" s="25"/>
      <c r="Z14" s="25"/>
    </row>
    <row r="15" spans="1:29" x14ac:dyDescent="0.15">
      <c r="A15" s="50"/>
      <c r="B15" s="50"/>
      <c r="C15" s="50"/>
      <c r="D15" s="50"/>
      <c r="E15" s="50"/>
      <c r="F15" s="53"/>
      <c r="G15" s="57"/>
      <c r="H15" s="57"/>
    </row>
    <row r="17" spans="1:1" x14ac:dyDescent="0.15">
      <c r="A17" s="8" t="s">
        <v>41</v>
      </c>
    </row>
    <row r="18" spans="1:1" x14ac:dyDescent="0.15">
      <c r="A18" s="8" t="s">
        <v>42</v>
      </c>
    </row>
    <row r="19" spans="1:1" x14ac:dyDescent="0.15">
      <c r="A19" s="8" t="s">
        <v>43</v>
      </c>
    </row>
    <row r="21" spans="1:1" x14ac:dyDescent="0.15">
      <c r="A21" s="41" t="s">
        <v>46</v>
      </c>
    </row>
  </sheetData>
  <mergeCells count="26">
    <mergeCell ref="G14:G15"/>
    <mergeCell ref="H14:H15"/>
    <mergeCell ref="A14:A15"/>
    <mergeCell ref="B14:B15"/>
    <mergeCell ref="C14:C15"/>
    <mergeCell ref="D14:D15"/>
    <mergeCell ref="E14:E15"/>
    <mergeCell ref="F14:F15"/>
    <mergeCell ref="Y1:Y2"/>
    <mergeCell ref="Z1:Z2"/>
    <mergeCell ref="AA1:AA2"/>
    <mergeCell ref="AB1:AB2"/>
    <mergeCell ref="V1:X1"/>
    <mergeCell ref="F1:F2"/>
    <mergeCell ref="A1:A2"/>
    <mergeCell ref="B1:B2"/>
    <mergeCell ref="C1:C2"/>
    <mergeCell ref="D1:D2"/>
    <mergeCell ref="E1:E2"/>
    <mergeCell ref="G1:G2"/>
    <mergeCell ref="J1:L1"/>
    <mergeCell ref="M1:O1"/>
    <mergeCell ref="P1:R1"/>
    <mergeCell ref="S1:U1"/>
    <mergeCell ref="I1:I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Cài đặt</vt:lpstr>
      <vt:lpstr>Sử dụng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 Khang Kiệt</dc:creator>
  <cp:lastModifiedBy>Bùi Thị Phương Thảo</cp:lastModifiedBy>
  <dcterms:created xsi:type="dcterms:W3CDTF">2025-10-25T04:22:43Z</dcterms:created>
  <dcterms:modified xsi:type="dcterms:W3CDTF">2025-11-09T11:06:06Z</dcterms:modified>
</cp:coreProperties>
</file>